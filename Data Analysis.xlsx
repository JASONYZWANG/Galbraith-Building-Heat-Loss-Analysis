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d2fa71209959418/University of Toronto/Project/Galbraith-Building-Heat-Loss-Analysis/"/>
    </mc:Choice>
  </mc:AlternateContent>
  <xr:revisionPtr revIDLastSave="1" documentId="11_A89B1F923E49C836C8DF9863C03DB0C1DB9DDA7B" xr6:coauthVersionLast="47" xr6:coauthVersionMax="47" xr10:uidLastSave="{1445815D-135B-4542-ADAE-8F0AE6B74BF9}"/>
  <bookViews>
    <workbookView xWindow="380" yWindow="38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" l="1"/>
  <c r="W14" i="1" s="1"/>
  <c r="V12" i="1"/>
  <c r="V14" i="1" s="1"/>
  <c r="U12" i="1"/>
  <c r="U14" i="1" s="1"/>
  <c r="R12" i="1"/>
  <c r="R14" i="1" s="1"/>
  <c r="Q12" i="1"/>
  <c r="Q14" i="1" s="1"/>
  <c r="P12" i="1"/>
  <c r="P14" i="1" s="1"/>
  <c r="I9" i="1"/>
  <c r="K9" i="1" s="1"/>
  <c r="I8" i="1"/>
  <c r="K8" i="1" s="1"/>
  <c r="I7" i="1"/>
  <c r="K7" i="1" s="1"/>
  <c r="I6" i="1"/>
  <c r="K6" i="1" s="1"/>
  <c r="C13" i="1" l="1"/>
  <c r="C12" i="1"/>
  <c r="C15" i="1" l="1"/>
  <c r="C14" i="1"/>
</calcChain>
</file>

<file path=xl/sharedStrings.xml><?xml version="1.0" encoding="utf-8"?>
<sst xmlns="http://schemas.openxmlformats.org/spreadsheetml/2006/main" count="93" uniqueCount="60">
  <si>
    <t>Location</t>
  </si>
  <si>
    <t>Avg Temp</t>
  </si>
  <si>
    <t>Max Temp</t>
  </si>
  <si>
    <t>Min Temp</t>
  </si>
  <si>
    <t>Material</t>
  </si>
  <si>
    <t>U-Value (W/(m^2*K)</t>
  </si>
  <si>
    <t>Ambient Temp (℃)</t>
  </si>
  <si>
    <t>ΔTemp (℃)</t>
  </si>
  <si>
    <t>Area(m^2)</t>
  </si>
  <si>
    <t>Heat loss (W/m^2)</t>
  </si>
  <si>
    <t>Timestamp</t>
  </si>
  <si>
    <t>Brick wall</t>
  </si>
  <si>
    <t>Concrete</t>
  </si>
  <si>
    <t>3 Trials for Glassdoor</t>
  </si>
  <si>
    <t>#1</t>
  </si>
  <si>
    <t>#2</t>
  </si>
  <si>
    <t>#3</t>
  </si>
  <si>
    <t>3 Trials for Brick Wall</t>
  </si>
  <si>
    <t>Glassdoor</t>
  </si>
  <si>
    <t>Single Glazed Glass</t>
  </si>
  <si>
    <t>Glass Wall</t>
  </si>
  <si>
    <t>Double Glazed Glass</t>
  </si>
  <si>
    <t>Door edge</t>
  </si>
  <si>
    <t>Steel</t>
  </si>
  <si>
    <t>.......</t>
  </si>
  <si>
    <t>Conclusion</t>
  </si>
  <si>
    <t>Environment temp (℃)</t>
  </si>
  <si>
    <t>Average Heat Loss (μ)</t>
  </si>
  <si>
    <t>Standard Deviation (σ)</t>
  </si>
  <si>
    <t>High Severity &gt;μ+0.5σ</t>
  </si>
  <si>
    <t>Low Severity &lt;μ-0.5σ</t>
  </si>
  <si>
    <t>Medium Range [μ-0.5σ, μ+0.5σ]</t>
  </si>
  <si>
    <t>[15.2~43.3]</t>
  </si>
  <si>
    <t>Note: Measurements were taken with a digital thermal camera with an accuracy of ±2℉</t>
  </si>
  <si>
    <t>Tests were conducted at a room temperature of 22.5°C and outside temperature (8°C)</t>
  </si>
  <si>
    <t>The table above shows data from a single measurement</t>
  </si>
  <si>
    <t>High: &gt; 50 W/m2</t>
  </si>
  <si>
    <t>Medium: 10 - 50 W/m2</t>
  </si>
  <si>
    <t>Low: 0 - 10 W/m2</t>
  </si>
  <si>
    <t>Brick</t>
  </si>
  <si>
    <t>Glass</t>
  </si>
  <si>
    <t>Category</t>
  </si>
  <si>
    <t>Component / Material</t>
  </si>
  <si>
    <t>U-Value (W/m2K)</t>
  </si>
  <si>
    <t>Windows</t>
  </si>
  <si>
    <t>Metal Single Glazed</t>
  </si>
  <si>
    <t>Wood Single Glazed</t>
  </si>
  <si>
    <t>PVC Single Glazed</t>
  </si>
  <si>
    <t>Glass Single Glazed</t>
  </si>
  <si>
    <t>Doors</t>
  </si>
  <si>
    <t>Solid Wood Door</t>
  </si>
  <si>
    <t>Metal Single</t>
  </si>
  <si>
    <t xml:space="preserve">Glass Single Glazed </t>
  </si>
  <si>
    <t>Walls</t>
  </si>
  <si>
    <t>Solid Brick</t>
  </si>
  <si>
    <t>Solid Stone</t>
  </si>
  <si>
    <t>Solid Concrete</t>
  </si>
  <si>
    <t>Cavity Wall</t>
  </si>
  <si>
    <t>Hardwood</t>
  </si>
  <si>
    <t>Softwood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</si>
</sst>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"/>
  </numFmts>
  <fonts count="22">
    <font>
      <sz val="10"/>
      <color rgb="FF000000"/>
      <name val="Arial"/>
      <scheme val="minor"/>
    </font>
    <font>
      <sz val="15"/>
      <color theme="1"/>
      <name val="Times New Roman"/>
    </font>
    <font>
      <b/>
      <sz val="12"/>
      <color rgb="FF000000"/>
      <name val="Montserrat"/>
    </font>
    <font>
      <b/>
      <sz val="12"/>
      <color theme="1"/>
      <name val="Montserrat"/>
    </font>
    <font>
      <b/>
      <sz val="14"/>
      <color theme="1"/>
      <name val="Montserrat"/>
    </font>
    <font>
      <sz val="10"/>
      <color theme="1"/>
      <name val="Montserrat"/>
    </font>
    <font>
      <sz val="14"/>
      <color rgb="FF000000"/>
      <name val="Montserrat"/>
    </font>
    <font>
      <i/>
      <sz val="14"/>
      <color rgb="FF000000"/>
      <name val="Montserrat"/>
    </font>
    <font>
      <i/>
      <sz val="14"/>
      <color theme="1"/>
      <name val="Montserrat"/>
    </font>
    <font>
      <sz val="14"/>
      <color theme="1"/>
      <name val="Montserrat"/>
    </font>
    <font>
      <sz val="17"/>
      <color theme="1"/>
      <name val="Arial"/>
      <scheme val="minor"/>
    </font>
    <font>
      <b/>
      <i/>
      <sz val="14"/>
      <color theme="1"/>
      <name val="Times New Roman"/>
    </font>
    <font>
      <sz val="10"/>
      <name val="Arial"/>
    </font>
    <font>
      <sz val="10"/>
      <color theme="1"/>
      <name val="Arial"/>
      <scheme val="minor"/>
    </font>
    <font>
      <b/>
      <i/>
      <sz val="12"/>
      <color theme="1"/>
      <name val="Times New Roman"/>
    </font>
    <font>
      <i/>
      <sz val="11"/>
      <color theme="1"/>
      <name val="Times New Roman"/>
    </font>
    <font>
      <i/>
      <sz val="10"/>
      <color theme="1"/>
      <name val="Times New Roman"/>
    </font>
    <font>
      <b/>
      <sz val="18"/>
      <color rgb="FF000000"/>
      <name val="Arial"/>
    </font>
    <font>
      <b/>
      <sz val="17"/>
      <color rgb="FF1F1F1F"/>
      <name val="'Times New Roman'"/>
    </font>
    <font>
      <i/>
      <sz val="17"/>
      <color rgb="FF1F1F1F"/>
      <name val="'Times New Roman'"/>
    </font>
    <font>
      <sz val="17"/>
      <color rgb="FF1F1F1F"/>
      <name val="'Times New Roman'"/>
    </font>
    <font>
      <b/>
      <sz val="14"/>
      <color rgb="FF00000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0000"/>
      </left>
      <right/>
      <top style="thin">
        <color rgb="FF660000"/>
      </top>
      <bottom style="thin">
        <color rgb="FF660000"/>
      </bottom>
      <diagonal/>
    </border>
    <border>
      <left/>
      <right style="thin">
        <color rgb="FF660000"/>
      </right>
      <top style="thin">
        <color rgb="FF660000"/>
      </top>
      <bottom style="thin">
        <color rgb="FF660000"/>
      </bottom>
      <diagonal/>
    </border>
    <border>
      <left style="thin">
        <color rgb="FF660000"/>
      </left>
      <right style="thin">
        <color rgb="FF660000"/>
      </right>
      <top style="thin">
        <color rgb="FF660000"/>
      </top>
      <bottom style="thin">
        <color rgb="FF66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/>
    <xf numFmtId="0" fontId="7" fillId="3" borderId="1" xfId="0" applyFont="1" applyFill="1" applyBorder="1"/>
    <xf numFmtId="164" fontId="8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0" fontId="9" fillId="0" borderId="1" xfId="0" applyFont="1" applyBorder="1"/>
    <xf numFmtId="0" fontId="10" fillId="0" borderId="0" xfId="0" applyFont="1"/>
    <xf numFmtId="0" fontId="13" fillId="0" borderId="0" xfId="0" applyFont="1"/>
    <xf numFmtId="0" fontId="14" fillId="0" borderId="4" xfId="0" applyFont="1" applyBorder="1"/>
    <xf numFmtId="0" fontId="14" fillId="0" borderId="4" xfId="0" applyFont="1" applyBorder="1" applyAlignment="1">
      <alignment horizontal="right"/>
    </xf>
    <xf numFmtId="0" fontId="16" fillId="0" borderId="0" xfId="0" applyFont="1"/>
    <xf numFmtId="0" fontId="17" fillId="0" borderId="0" xfId="0" applyFont="1"/>
    <xf numFmtId="0" fontId="18" fillId="4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right" wrapText="1"/>
    </xf>
    <xf numFmtId="0" fontId="11" fillId="0" borderId="2" xfId="0" applyFont="1" applyBorder="1" applyAlignment="1">
      <alignment horizontal="center"/>
    </xf>
    <xf numFmtId="0" fontId="12" fillId="0" borderId="3" xfId="0" applyFont="1" applyBorder="1"/>
    <xf numFmtId="0" fontId="15" fillId="0" borderId="0" xfId="0" applyFont="1"/>
    <xf numFmtId="0" fontId="0" fillId="0" borderId="0" xfId="0"/>
    <xf numFmtId="0" fontId="16" fillId="0" borderId="0" xfId="0" applyFont="1"/>
    <xf numFmtId="0" fontId="18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2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828675</xdr:colOff>
      <xdr:row>9</xdr:row>
      <xdr:rowOff>57150</xdr:rowOff>
    </xdr:from>
    <xdr:ext cx="6915150" cy="4371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17</xdr:row>
      <xdr:rowOff>200025</xdr:rowOff>
    </xdr:from>
    <xdr:ext cx="4686300" cy="30861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4:W59"/>
  <sheetViews>
    <sheetView tabSelected="1" topLeftCell="A27" workbookViewId="0">
      <selection activeCell="C39" sqref="C39"/>
    </sheetView>
  </sheetViews>
  <sheetFormatPr defaultColWidth="12.6328125" defaultRowHeight="15.75" customHeight="1"/>
  <cols>
    <col min="2" max="2" width="30.453125" customWidth="1"/>
    <col min="3" max="3" width="16" customWidth="1"/>
    <col min="4" max="4" width="12.453125" customWidth="1"/>
    <col min="5" max="5" width="12.08984375" customWidth="1"/>
    <col min="6" max="6" width="25.08984375" customWidth="1"/>
    <col min="7" max="7" width="21.7265625" customWidth="1"/>
    <col min="8" max="8" width="22.90625" customWidth="1"/>
    <col min="9" max="9" width="12.453125" customWidth="1"/>
    <col min="10" max="10" width="20.7265625" customWidth="1"/>
    <col min="11" max="11" width="20.90625" customWidth="1"/>
    <col min="12" max="12" width="21.36328125" customWidth="1"/>
    <col min="15" max="15" width="25" customWidth="1"/>
    <col min="16" max="16" width="11.36328125" customWidth="1"/>
    <col min="17" max="17" width="12.08984375" customWidth="1"/>
    <col min="20" max="20" width="25" customWidth="1"/>
  </cols>
  <sheetData>
    <row r="4" spans="2:23" ht="15.7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23" ht="15.75" customHeight="1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3" t="s">
        <v>10</v>
      </c>
      <c r="O5" s="4"/>
      <c r="P5" s="5"/>
      <c r="Q5" s="5"/>
      <c r="R5" s="5"/>
      <c r="U5" s="5"/>
      <c r="V5" s="5"/>
      <c r="W5" s="5"/>
    </row>
    <row r="6" spans="2:23" ht="15.75" customHeight="1">
      <c r="B6" s="6" t="s">
        <v>11</v>
      </c>
      <c r="C6" s="7">
        <v>22.8</v>
      </c>
      <c r="D6" s="7">
        <v>21</v>
      </c>
      <c r="E6" s="7">
        <v>20.399999999999999</v>
      </c>
      <c r="F6" s="7" t="s">
        <v>12</v>
      </c>
      <c r="G6" s="7">
        <v>3</v>
      </c>
      <c r="H6" s="7">
        <v>22.5</v>
      </c>
      <c r="I6" s="7">
        <f t="shared" ref="I6:I9" si="0">ABS(C6-H6)</f>
        <v>0.30000000000000071</v>
      </c>
      <c r="J6" s="7">
        <v>1</v>
      </c>
      <c r="K6" s="7">
        <f t="shared" ref="K6:K9" si="1">G6*I6*J6</f>
        <v>0.90000000000000213</v>
      </c>
      <c r="L6" s="8">
        <v>46109.645833333336</v>
      </c>
      <c r="O6" s="9" t="s">
        <v>13</v>
      </c>
      <c r="P6" s="9" t="s">
        <v>14</v>
      </c>
      <c r="Q6" s="9" t="s">
        <v>15</v>
      </c>
      <c r="R6" s="9" t="s">
        <v>16</v>
      </c>
      <c r="T6" s="10" t="s">
        <v>17</v>
      </c>
      <c r="U6" s="10" t="s">
        <v>14</v>
      </c>
      <c r="V6" s="10" t="s">
        <v>15</v>
      </c>
      <c r="W6" s="10" t="s">
        <v>16</v>
      </c>
    </row>
    <row r="7" spans="2:23" ht="15.75" customHeight="1">
      <c r="B7" s="6" t="s">
        <v>18</v>
      </c>
      <c r="C7" s="7">
        <v>16.8</v>
      </c>
      <c r="D7" s="7">
        <v>18.7</v>
      </c>
      <c r="E7" s="7">
        <v>15.4</v>
      </c>
      <c r="F7" s="7" t="s">
        <v>19</v>
      </c>
      <c r="G7" s="7">
        <v>5.7</v>
      </c>
      <c r="H7" s="7">
        <v>22.5</v>
      </c>
      <c r="I7" s="7">
        <f t="shared" si="0"/>
        <v>5.6999999999999993</v>
      </c>
      <c r="J7" s="7">
        <v>1</v>
      </c>
      <c r="K7" s="7">
        <f t="shared" si="1"/>
        <v>32.489999999999995</v>
      </c>
      <c r="L7" s="8">
        <v>46110.658333333333</v>
      </c>
      <c r="O7" s="3" t="s">
        <v>1</v>
      </c>
      <c r="P7" s="11">
        <v>17.2</v>
      </c>
      <c r="Q7" s="11">
        <v>16.8</v>
      </c>
      <c r="R7" s="11">
        <v>17.899999999999999</v>
      </c>
      <c r="T7" s="3" t="s">
        <v>1</v>
      </c>
      <c r="U7" s="11">
        <v>20.8</v>
      </c>
      <c r="V7" s="11">
        <v>19.7</v>
      </c>
      <c r="W7" s="11">
        <v>19.8</v>
      </c>
    </row>
    <row r="8" spans="2:23" ht="15.75" customHeight="1">
      <c r="B8" s="6" t="s">
        <v>20</v>
      </c>
      <c r="C8" s="7">
        <v>16.399999999999999</v>
      </c>
      <c r="D8" s="7">
        <v>22.6</v>
      </c>
      <c r="E8" s="7">
        <v>12.8</v>
      </c>
      <c r="F8" s="7" t="s">
        <v>21</v>
      </c>
      <c r="G8" s="7">
        <v>2.8</v>
      </c>
      <c r="H8" s="7">
        <v>22.5</v>
      </c>
      <c r="I8" s="7">
        <f t="shared" si="0"/>
        <v>6.1000000000000014</v>
      </c>
      <c r="J8" s="7">
        <v>1</v>
      </c>
      <c r="K8" s="7">
        <f t="shared" si="1"/>
        <v>17.080000000000002</v>
      </c>
      <c r="L8" s="8">
        <v>46111.647916666669</v>
      </c>
      <c r="O8" s="3" t="s">
        <v>2</v>
      </c>
      <c r="P8" s="11">
        <v>19.2</v>
      </c>
      <c r="Q8" s="11">
        <v>18.7</v>
      </c>
      <c r="R8" s="11">
        <v>27.1</v>
      </c>
      <c r="T8" s="3" t="s">
        <v>2</v>
      </c>
      <c r="U8" s="11">
        <v>21</v>
      </c>
      <c r="V8" s="11">
        <v>20</v>
      </c>
      <c r="W8" s="11">
        <v>21</v>
      </c>
    </row>
    <row r="9" spans="2:23" ht="15.75" customHeight="1">
      <c r="B9" s="6" t="s">
        <v>22</v>
      </c>
      <c r="C9" s="7">
        <v>10.9</v>
      </c>
      <c r="D9" s="7">
        <v>18.3</v>
      </c>
      <c r="E9" s="7">
        <v>7.8</v>
      </c>
      <c r="F9" s="7" t="s">
        <v>23</v>
      </c>
      <c r="G9" s="7">
        <v>5.7</v>
      </c>
      <c r="H9" s="7">
        <v>22.5</v>
      </c>
      <c r="I9" s="7">
        <f t="shared" si="0"/>
        <v>11.6</v>
      </c>
      <c r="J9" s="7">
        <v>1</v>
      </c>
      <c r="K9" s="7">
        <f t="shared" si="1"/>
        <v>66.12</v>
      </c>
      <c r="L9" s="8">
        <v>46112.649305555555</v>
      </c>
      <c r="O9" s="3" t="s">
        <v>3</v>
      </c>
      <c r="P9" s="11">
        <v>16.2</v>
      </c>
      <c r="Q9" s="11">
        <v>15.4</v>
      </c>
      <c r="R9" s="11">
        <v>16.5</v>
      </c>
      <c r="T9" s="3" t="s">
        <v>3</v>
      </c>
      <c r="U9" s="11">
        <v>20.399999999999999</v>
      </c>
      <c r="V9" s="11">
        <v>19.2</v>
      </c>
      <c r="W9" s="11">
        <v>19.2</v>
      </c>
    </row>
    <row r="10" spans="2:23" ht="15.75" customHeight="1">
      <c r="B10" s="12" t="s">
        <v>24</v>
      </c>
      <c r="O10" s="2" t="s">
        <v>5</v>
      </c>
      <c r="P10" s="11">
        <v>5.7</v>
      </c>
      <c r="Q10" s="11">
        <v>5.7</v>
      </c>
      <c r="R10" s="11">
        <v>5.7</v>
      </c>
      <c r="T10" s="2" t="s">
        <v>5</v>
      </c>
      <c r="U10" s="11">
        <v>2</v>
      </c>
      <c r="V10" s="11">
        <v>2</v>
      </c>
      <c r="W10" s="11">
        <v>2</v>
      </c>
    </row>
    <row r="11" spans="2:23" ht="15.75" customHeight="1">
      <c r="B11" s="21" t="s">
        <v>25</v>
      </c>
      <c r="C11" s="22"/>
      <c r="J11" s="13"/>
      <c r="O11" s="2" t="s">
        <v>26</v>
      </c>
      <c r="P11" s="11">
        <v>22.5</v>
      </c>
      <c r="Q11" s="11">
        <v>22.5</v>
      </c>
      <c r="R11" s="11">
        <v>22.5</v>
      </c>
      <c r="T11" s="2" t="s">
        <v>26</v>
      </c>
      <c r="U11" s="11">
        <v>22.5</v>
      </c>
      <c r="V11" s="11">
        <v>22.5</v>
      </c>
      <c r="W11" s="11">
        <v>22.5</v>
      </c>
    </row>
    <row r="12" spans="2:23" ht="15.75" customHeight="1">
      <c r="B12" s="14" t="s">
        <v>27</v>
      </c>
      <c r="C12" s="14">
        <f>AVERAGE(K6:K9)</f>
        <v>29.147500000000001</v>
      </c>
      <c r="O12" s="2" t="s">
        <v>7</v>
      </c>
      <c r="P12" s="11">
        <f t="shared" ref="P12:R12" si="2">ABS(P11-P7)</f>
        <v>5.3000000000000007</v>
      </c>
      <c r="Q12" s="11">
        <f t="shared" si="2"/>
        <v>5.6999999999999993</v>
      </c>
      <c r="R12" s="11">
        <f t="shared" si="2"/>
        <v>4.6000000000000014</v>
      </c>
      <c r="T12" s="2" t="s">
        <v>7</v>
      </c>
      <c r="U12" s="11">
        <f t="shared" ref="U12:W12" si="3">ABS(U11-U7)</f>
        <v>1.6999999999999993</v>
      </c>
      <c r="V12" s="11">
        <f t="shared" si="3"/>
        <v>2.8000000000000007</v>
      </c>
      <c r="W12" s="11">
        <f t="shared" si="3"/>
        <v>2.6999999999999993</v>
      </c>
    </row>
    <row r="13" spans="2:23" ht="15.75" customHeight="1">
      <c r="B13" s="14" t="s">
        <v>28</v>
      </c>
      <c r="C13" s="14">
        <f>STDEV(K6:K9)</f>
        <v>27.818961608945791</v>
      </c>
      <c r="O13" s="2" t="s">
        <v>8</v>
      </c>
      <c r="P13" s="11">
        <v>1</v>
      </c>
      <c r="Q13" s="11">
        <v>1</v>
      </c>
      <c r="R13" s="11">
        <v>1</v>
      </c>
      <c r="T13" s="2" t="s">
        <v>8</v>
      </c>
      <c r="U13" s="11">
        <v>1</v>
      </c>
      <c r="V13" s="11">
        <v>1</v>
      </c>
      <c r="W13" s="11">
        <v>1</v>
      </c>
    </row>
    <row r="14" spans="2:23" ht="15.75" customHeight="1">
      <c r="B14" s="14" t="s">
        <v>29</v>
      </c>
      <c r="C14" s="14">
        <f>C12+0.5*C13</f>
        <v>43.0569808044729</v>
      </c>
      <c r="O14" s="2" t="s">
        <v>9</v>
      </c>
      <c r="P14" s="11">
        <f t="shared" ref="P14:R14" si="4">P13*P12*P10</f>
        <v>30.210000000000004</v>
      </c>
      <c r="Q14" s="11">
        <f t="shared" si="4"/>
        <v>32.489999999999995</v>
      </c>
      <c r="R14" s="11">
        <f t="shared" si="4"/>
        <v>26.22000000000001</v>
      </c>
      <c r="T14" s="2" t="s">
        <v>9</v>
      </c>
      <c r="U14" s="11">
        <f t="shared" ref="U14:W14" si="5">U13*U12*U10</f>
        <v>3.3999999999999986</v>
      </c>
      <c r="V14" s="11">
        <f t="shared" si="5"/>
        <v>5.6000000000000014</v>
      </c>
      <c r="W14" s="11">
        <f t="shared" si="5"/>
        <v>5.3999999999999986</v>
      </c>
    </row>
    <row r="15" spans="2:23" ht="15.75" customHeight="1">
      <c r="B15" s="14" t="s">
        <v>30</v>
      </c>
      <c r="C15" s="14">
        <f>C12-0.5*C13</f>
        <v>15.238019195527105</v>
      </c>
    </row>
    <row r="16" spans="2:23" ht="15.75" customHeight="1">
      <c r="B16" s="14" t="s">
        <v>31</v>
      </c>
      <c r="C16" s="15" t="s">
        <v>32</v>
      </c>
    </row>
    <row r="18" spans="2:12">
      <c r="B18" s="23" t="s">
        <v>33</v>
      </c>
      <c r="C18" s="24"/>
      <c r="D18" s="24"/>
      <c r="E18" s="24"/>
      <c r="F18" s="24"/>
    </row>
    <row r="19" spans="2:12">
      <c r="B19" s="25" t="s">
        <v>34</v>
      </c>
      <c r="C19" s="24"/>
      <c r="D19" s="24"/>
      <c r="E19" s="24"/>
      <c r="F19" s="16"/>
      <c r="G19" s="13"/>
    </row>
    <row r="20" spans="2:12">
      <c r="B20" s="25" t="s">
        <v>35</v>
      </c>
      <c r="C20" s="24"/>
      <c r="D20" s="24"/>
      <c r="E20" s="24"/>
      <c r="F20" s="16"/>
    </row>
    <row r="22" spans="2:12" ht="15.75" customHeight="1">
      <c r="B22" s="17" t="s">
        <v>36</v>
      </c>
    </row>
    <row r="23" spans="2:12" ht="23">
      <c r="B23" s="17" t="s">
        <v>37</v>
      </c>
    </row>
    <row r="24" spans="2:12" ht="23">
      <c r="B24" s="17" t="s">
        <v>38</v>
      </c>
    </row>
    <row r="31" spans="2:12" ht="15.5"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s="2" t="s">
        <v>7</v>
      </c>
      <c r="I31" s="2" t="s">
        <v>9</v>
      </c>
      <c r="J31" s="3" t="s">
        <v>10</v>
      </c>
      <c r="K31" s="2"/>
      <c r="L31" s="3"/>
    </row>
    <row r="32" spans="2:12" ht="21.5">
      <c r="B32" s="29" t="s">
        <v>11</v>
      </c>
      <c r="C32" s="7">
        <v>22.8</v>
      </c>
      <c r="D32" s="7">
        <v>21</v>
      </c>
      <c r="E32" s="7">
        <v>20.399999999999999</v>
      </c>
      <c r="F32" s="7" t="s">
        <v>39</v>
      </c>
      <c r="G32" s="7">
        <v>2</v>
      </c>
      <c r="H32" s="7">
        <v>0.3</v>
      </c>
      <c r="I32" s="7">
        <v>0.6</v>
      </c>
      <c r="J32" s="8">
        <v>46109.645833333336</v>
      </c>
      <c r="K32" s="7"/>
      <c r="L32" s="8"/>
    </row>
    <row r="33" spans="2:17" ht="21.5">
      <c r="B33" s="29" t="s">
        <v>18</v>
      </c>
      <c r="C33" s="7">
        <v>16.8</v>
      </c>
      <c r="D33" s="7">
        <v>18.7</v>
      </c>
      <c r="E33" s="7">
        <v>15.4</v>
      </c>
      <c r="F33" s="7" t="s">
        <v>40</v>
      </c>
      <c r="G33" s="7">
        <v>5.7</v>
      </c>
      <c r="H33" s="7">
        <v>5.7</v>
      </c>
      <c r="I33" s="7">
        <v>32.5</v>
      </c>
      <c r="J33" s="8">
        <v>46110.658333333333</v>
      </c>
      <c r="K33" s="7"/>
      <c r="L33" s="8"/>
    </row>
    <row r="34" spans="2:17" ht="21.5">
      <c r="B34" s="29" t="s">
        <v>20</v>
      </c>
      <c r="C34" s="7">
        <v>16.399999999999999</v>
      </c>
      <c r="D34" s="7">
        <v>22.6</v>
      </c>
      <c r="E34" s="7">
        <v>12.8</v>
      </c>
      <c r="F34" s="7" t="s">
        <v>40</v>
      </c>
      <c r="G34" s="7">
        <v>2.8</v>
      </c>
      <c r="H34" s="7">
        <v>6.1</v>
      </c>
      <c r="I34" s="7">
        <v>17.100000000000001</v>
      </c>
      <c r="J34" s="8">
        <v>46111.647916666669</v>
      </c>
      <c r="K34" s="7"/>
      <c r="L34" s="8"/>
    </row>
    <row r="35" spans="2:17" ht="21.5">
      <c r="B35" s="29" t="s">
        <v>22</v>
      </c>
      <c r="C35" s="7">
        <v>10.9</v>
      </c>
      <c r="D35" s="7">
        <v>18.3</v>
      </c>
      <c r="E35" s="7">
        <v>7.8</v>
      </c>
      <c r="F35" s="7" t="s">
        <v>23</v>
      </c>
      <c r="G35" s="7">
        <v>5.7</v>
      </c>
      <c r="H35" s="7">
        <v>11.6</v>
      </c>
      <c r="I35" s="7">
        <v>66.099999999999994</v>
      </c>
      <c r="J35" s="8">
        <v>46112.649305555555</v>
      </c>
      <c r="K35" s="7"/>
      <c r="L35" s="8"/>
    </row>
    <row r="46" spans="2:17" ht="86">
      <c r="O46" s="18" t="s">
        <v>41</v>
      </c>
      <c r="P46" s="18" t="s">
        <v>42</v>
      </c>
      <c r="Q46" s="18" t="s">
        <v>43</v>
      </c>
    </row>
    <row r="47" spans="2:17" ht="86">
      <c r="O47" s="26" t="s">
        <v>44</v>
      </c>
      <c r="P47" s="19" t="s">
        <v>45</v>
      </c>
      <c r="Q47" s="20">
        <v>5.7</v>
      </c>
    </row>
    <row r="48" spans="2:17" ht="86">
      <c r="O48" s="27"/>
      <c r="P48" s="19" t="s">
        <v>46</v>
      </c>
      <c r="Q48" s="20">
        <v>4.8</v>
      </c>
    </row>
    <row r="49" spans="15:17" ht="86">
      <c r="O49" s="27"/>
      <c r="P49" s="19" t="s">
        <v>47</v>
      </c>
      <c r="Q49" s="20">
        <v>4.8</v>
      </c>
    </row>
    <row r="50" spans="15:17" ht="86">
      <c r="O50" s="28"/>
      <c r="P50" s="19" t="s">
        <v>48</v>
      </c>
      <c r="Q50" s="20">
        <v>5.7</v>
      </c>
    </row>
    <row r="51" spans="15:17" ht="64.5">
      <c r="O51" s="26" t="s">
        <v>49</v>
      </c>
      <c r="P51" s="19" t="s">
        <v>50</v>
      </c>
      <c r="Q51" s="20">
        <v>3</v>
      </c>
    </row>
    <row r="52" spans="15:17" ht="43">
      <c r="O52" s="27"/>
      <c r="P52" s="19" t="s">
        <v>51</v>
      </c>
      <c r="Q52" s="20">
        <v>5.7</v>
      </c>
    </row>
    <row r="53" spans="15:17" ht="86">
      <c r="O53" s="28"/>
      <c r="P53" s="19" t="s">
        <v>52</v>
      </c>
      <c r="Q53" s="20">
        <v>5.7</v>
      </c>
    </row>
    <row r="54" spans="15:17" ht="43">
      <c r="O54" s="26" t="s">
        <v>53</v>
      </c>
      <c r="P54" s="19" t="s">
        <v>54</v>
      </c>
      <c r="Q54" s="20">
        <v>2.1</v>
      </c>
    </row>
    <row r="55" spans="15:17" ht="43">
      <c r="O55" s="27"/>
      <c r="P55" s="19" t="s">
        <v>55</v>
      </c>
      <c r="Q55" s="20">
        <v>2.25</v>
      </c>
    </row>
    <row r="56" spans="15:17" ht="64.5">
      <c r="O56" s="27"/>
      <c r="P56" s="19" t="s">
        <v>56</v>
      </c>
      <c r="Q56" s="20">
        <v>3</v>
      </c>
    </row>
    <row r="57" spans="15:17" ht="43">
      <c r="O57" s="27"/>
      <c r="P57" s="19" t="s">
        <v>57</v>
      </c>
      <c r="Q57" s="20">
        <v>1.3</v>
      </c>
    </row>
    <row r="58" spans="15:17" ht="43">
      <c r="O58" s="27"/>
      <c r="P58" s="19" t="s">
        <v>58</v>
      </c>
      <c r="Q58" s="20">
        <v>0.18</v>
      </c>
    </row>
    <row r="59" spans="15:17" ht="43">
      <c r="O59" s="28"/>
      <c r="P59" s="19" t="s">
        <v>59</v>
      </c>
      <c r="Q59" s="20">
        <v>0.13</v>
      </c>
    </row>
  </sheetData>
  <mergeCells count="7">
    <mergeCell ref="O51:O53"/>
    <mergeCell ref="O54:O59"/>
    <mergeCell ref="B11:C11"/>
    <mergeCell ref="B18:F18"/>
    <mergeCell ref="B19:E19"/>
    <mergeCell ref="B20:E20"/>
    <mergeCell ref="O47:O50"/>
  </mergeCells>
  <printOptions horizontalCentered="1" gridLines="1"/>
  <pageMargins left="0.25" right="0.25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Yizhuo Wang</cp:lastModifiedBy>
  <dcterms:modified xsi:type="dcterms:W3CDTF">2026-07-27T13:47:23Z</dcterms:modified>
</cp:coreProperties>
</file>