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<sst xmlns="http://schemas.openxmlformats.org/spreadsheetml/2006/main" count="93" uniqueCount="60">
  <si>
    <t>Location</t>
  </si>
  <si>
    <t>Avg Temp</t>
  </si>
  <si>
    <t>Max Temp</t>
  </si>
  <si>
    <t>Min Temp</t>
  </si>
  <si>
    <t>Material</t>
  </si>
  <si>
    <t>U-Value (W/(m^2*K)</t>
  </si>
  <si>
    <t>Ambient Temp (℃)</t>
  </si>
  <si>
    <t>ΔTemp (℃)</t>
  </si>
  <si>
    <t>Area(m^2)</t>
  </si>
  <si>
    <t>Heat loss (W/m^2)</t>
  </si>
  <si>
    <t>Timestamp</t>
  </si>
  <si>
    <t>Brick wall</t>
  </si>
  <si>
    <t>Concrete</t>
  </si>
  <si>
    <t>3 Trials for Glassdoor</t>
  </si>
  <si>
    <t>#1</t>
  </si>
  <si>
    <t>#2</t>
  </si>
  <si>
    <t>#3</t>
  </si>
  <si>
    <t>3 Trials for Brick Wall</t>
  </si>
  <si>
    <t>Glassdoor</t>
  </si>
  <si>
    <t>Single Glazed Glass</t>
  </si>
  <si>
    <t>Glass Wall</t>
  </si>
  <si>
    <t>Double Glazed Glass</t>
  </si>
  <si>
    <t>Door edge</t>
  </si>
  <si>
    <t>Steel</t>
  </si>
  <si>
    <t>.......</t>
  </si>
  <si>
    <t>Conclusion</t>
  </si>
  <si>
    <t>Environment temp (℃)</t>
  </si>
  <si>
    <t>Average Heat Loss (μ)</t>
  </si>
  <si>
    <t>Standard Deviation (σ)</t>
  </si>
  <si>
    <t>High Severity &gt;μ+0.5σ</t>
  </si>
  <si>
    <t>Low Severity &lt;μ-0.5σ</t>
  </si>
  <si>
    <t>Medium Range [μ-0.5σ, μ+0.5σ]</t>
  </si>
  <si>
    <t>[15.2~43.3]</t>
  </si>
  <si>
    <t>Note: Measurements were taken with a digital thermal camera with an accuracy of ±2℉</t>
  </si>
  <si>
    <t>Tests were conducted at a room temperature of 22.5°C and outside temperature (8°C)</t>
  </si>
  <si>
    <t>The table above shows data from a single measurement</t>
  </si>
  <si>
    <t>High: &gt; 50 W/m2</t>
  </si>
  <si>
    <t>Medium: 10 - 50 W/m2</t>
  </si>
  <si>
    <t>Low: 0 - 10 W/m2</t>
  </si>
  <si>
    <t>Brick</t>
  </si>
  <si>
    <t>Glass</t>
  </si>
  <si>
    <t>Category</t>
  </si>
  <si>
    <t>Component / Material</t>
  </si>
  <si>
    <t>U-Value (W/m2K)</t>
  </si>
  <si>
    <t>Windows</t>
  </si>
  <si>
    <t>Metal Single Glazed</t>
  </si>
  <si>
    <t>Wood Single Glazed</t>
  </si>
  <si>
    <t>PVC Single Glazed</t>
  </si>
  <si>
    <t>Glass Single Glazed</t>
  </si>
  <si>
    <t>Doors</t>
  </si>
  <si>
    <t>Solid Wood Door</t>
  </si>
  <si>
    <t>Metal Single</t>
  </si>
  <si>
    <t xml:space="preserve">Glass Single Glazed </t>
  </si>
  <si>
    <t>Walls</t>
  </si>
  <si>
    <t>Solid Brick</t>
  </si>
  <si>
    <t>Solid Stone</t>
  </si>
  <si>
    <t>Solid Concrete</t>
  </si>
  <si>
    <t>Cavity Wall</t>
  </si>
  <si>
    <t>Hardwood</t>
  </si>
  <si>
    <t>Softwood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</si>
</sst>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yy h:mm"/>
  </numFmts>
  <fonts count="21">
    <font>
      <sz val="10.0"/>
      <color rgb="FF000000"/>
      <name val="Arial"/>
      <scheme val="minor"/>
    </font>
    <font>
      <sz val="15.0"/>
      <color theme="1"/>
      <name val="Times New Roman"/>
    </font>
    <font>
      <b/>
      <sz val="12.0"/>
      <color rgb="FF000000"/>
      <name val="Montserrat"/>
    </font>
    <font>
      <b/>
      <sz val="12.0"/>
      <color theme="1"/>
      <name val="Montserrat"/>
    </font>
    <font>
      <b/>
      <sz val="14.0"/>
      <color theme="1"/>
      <name val="Montserrat"/>
    </font>
    <font>
      <color theme="1"/>
      <name val="Montserrat"/>
    </font>
    <font>
      <sz val="14.0"/>
      <color rgb="FF000000"/>
      <name val="Montserrat"/>
    </font>
    <font>
      <i/>
      <sz val="14.0"/>
      <color rgb="FF000000"/>
      <name val="Montserrat"/>
    </font>
    <font>
      <i/>
      <sz val="14.0"/>
      <color theme="1"/>
      <name val="Montserrat"/>
    </font>
    <font>
      <sz val="14.0"/>
      <color theme="1"/>
      <name val="Montserrat"/>
    </font>
    <font>
      <sz val="17.0"/>
      <color theme="1"/>
      <name val="Arial"/>
      <scheme val="minor"/>
    </font>
    <font>
      <b/>
      <i/>
      <sz val="14.0"/>
      <color theme="1"/>
      <name val="Times New Roman"/>
    </font>
    <font/>
    <font>
      <color theme="1"/>
      <name val="Arial"/>
      <scheme val="minor"/>
    </font>
    <font>
      <b/>
      <i/>
      <sz val="12.0"/>
      <color theme="1"/>
      <name val="Times New Roman"/>
    </font>
    <font>
      <i/>
      <sz val="11.0"/>
      <color theme="1"/>
      <name val="Times New Roman"/>
    </font>
    <font>
      <i/>
      <color theme="1"/>
      <name val="Times New Roman"/>
    </font>
    <font>
      <b/>
      <sz val="18.0"/>
      <color rgb="FF000000"/>
      <name val="Arial"/>
    </font>
    <font>
      <b/>
      <sz val="17.0"/>
      <color rgb="FF1F1F1F"/>
      <name val="'Times New Roman'"/>
    </font>
    <font>
      <i/>
      <sz val="17.0"/>
      <color rgb="FF1F1F1F"/>
      <name val="'Times New Roman'"/>
    </font>
    <font>
      <sz val="17.0"/>
      <color rgb="FF1F1F1F"/>
      <name val="'Times New Roman'"/>
    </font>
  </fonts>
  <fills count="5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660000"/>
      </left>
      <top style="thin">
        <color rgb="FF660000"/>
      </top>
      <bottom style="thin">
        <color rgb="FF660000"/>
      </bottom>
    </border>
    <border>
      <right style="thin">
        <color rgb="FF660000"/>
      </right>
      <top style="thin">
        <color rgb="FF660000"/>
      </top>
      <bottom style="thin">
        <color rgb="FF660000"/>
      </bottom>
    </border>
    <border>
      <left style="thin">
        <color rgb="FF660000"/>
      </left>
      <right style="thin">
        <color rgb="FF660000"/>
      </right>
      <top style="thin">
        <color rgb="FF660000"/>
      </top>
      <bottom style="thin">
        <color rgb="FF66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readingOrder="0"/>
    </xf>
    <xf borderId="1" fillId="2" fontId="3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5" numFmtId="0" xfId="0" applyFont="1"/>
    <xf borderId="1" fillId="3" fontId="6" numFmtId="0" xfId="0" applyAlignment="1" applyBorder="1" applyFill="1" applyFont="1">
      <alignment readingOrder="0"/>
    </xf>
    <xf borderId="1" fillId="3" fontId="7" numFmtId="0" xfId="0" applyAlignment="1" applyBorder="1" applyFont="1">
      <alignment readingOrder="0"/>
    </xf>
    <xf borderId="1" fillId="3" fontId="7" numFmtId="0" xfId="0" applyAlignment="1" applyBorder="1" applyFont="1">
      <alignment readingOrder="0" shrinkToFit="0" wrapText="0"/>
    </xf>
    <xf borderId="1" fillId="3" fontId="7" numFmtId="0" xfId="0" applyBorder="1" applyFont="1"/>
    <xf borderId="1" fillId="0" fontId="8" numFmtId="164" xfId="0" applyAlignment="1" applyBorder="1" applyFont="1" applyNumberFormat="1">
      <alignment readingOrder="0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1" fillId="0" fontId="9" numFmtId="0" xfId="0" applyAlignment="1" applyBorder="1" applyFont="1">
      <alignment readingOrder="0"/>
    </xf>
    <xf borderId="0" fillId="0" fontId="10" numFmtId="0" xfId="0" applyAlignment="1" applyFont="1">
      <alignment readingOrder="0"/>
    </xf>
    <xf borderId="2" fillId="0" fontId="11" numFmtId="0" xfId="0" applyAlignment="1" applyBorder="1" applyFont="1">
      <alignment horizontal="center" readingOrder="0"/>
    </xf>
    <xf borderId="3" fillId="0" fontId="12" numFmtId="0" xfId="0" applyBorder="1" applyFont="1"/>
    <xf borderId="0" fillId="0" fontId="13" numFmtId="0" xfId="0" applyAlignment="1" applyFont="1">
      <alignment readingOrder="0"/>
    </xf>
    <xf borderId="4" fillId="0" fontId="14" numFmtId="0" xfId="0" applyAlignment="1" applyBorder="1" applyFont="1">
      <alignment readingOrder="0"/>
    </xf>
    <xf borderId="1" fillId="0" fontId="9" numFmtId="0" xfId="0" applyBorder="1" applyFont="1"/>
    <xf borderId="4" fillId="0" fontId="14" numFmtId="0" xfId="0" applyBorder="1" applyFont="1"/>
    <xf borderId="4" fillId="0" fontId="14" numFmtId="0" xfId="0" applyAlignment="1" applyBorder="1" applyFont="1">
      <alignment horizontal="right" readingOrder="0"/>
    </xf>
    <xf borderId="0" fillId="0" fontId="15" numFmtId="0" xfId="0" applyAlignment="1" applyFont="1">
      <alignment readingOrder="0"/>
    </xf>
    <xf borderId="0" fillId="0" fontId="16" numFmtId="0" xfId="0" applyAlignment="1" applyFont="1">
      <alignment readingOrder="0"/>
    </xf>
    <xf borderId="0" fillId="0" fontId="16" numFmtId="0" xfId="0" applyFont="1"/>
    <xf borderId="0" fillId="0" fontId="17" numFmtId="0" xfId="0" applyAlignment="1" applyFont="1">
      <alignment readingOrder="0"/>
    </xf>
    <xf borderId="1" fillId="4" fontId="18" numFmtId="0" xfId="0" applyAlignment="1" applyBorder="1" applyFill="1" applyFont="1">
      <alignment horizontal="center" readingOrder="0" shrinkToFit="0" wrapText="1"/>
    </xf>
    <xf borderId="5" fillId="4" fontId="18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left" readingOrder="0" shrinkToFit="0" wrapText="1"/>
    </xf>
    <xf borderId="1" fillId="0" fontId="20" numFmtId="0" xfId="0" applyAlignment="1" applyBorder="1" applyFont="1">
      <alignment horizontal="right" readingOrder="0" shrinkToFit="0" wrapText="1"/>
    </xf>
    <xf borderId="6" fillId="0" fontId="12" numFmtId="0" xfId="0" applyBorder="1" applyFont="1"/>
    <xf borderId="7" fillId="0" fontId="1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828675</xdr:colOff>
      <xdr:row>9</xdr:row>
      <xdr:rowOff>57150</xdr:rowOff>
    </xdr:from>
    <xdr:ext cx="6915150" cy="43719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66675</xdr:colOff>
      <xdr:row>17</xdr:row>
      <xdr:rowOff>200025</xdr:rowOff>
    </xdr:from>
    <xdr:ext cx="4686300" cy="3086100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0.5"/>
    <col customWidth="1" min="3" max="3" width="16.0"/>
    <col customWidth="1" min="4" max="4" width="12.5"/>
    <col customWidth="1" min="5" max="5" width="12.13"/>
    <col customWidth="1" min="6" max="6" width="25.13"/>
    <col customWidth="1" min="7" max="7" width="21.75"/>
    <col customWidth="1" min="8" max="8" width="22.88"/>
    <col customWidth="1" min="9" max="9" width="12.5"/>
    <col customWidth="1" min="10" max="10" width="20.75"/>
    <col customWidth="1" min="11" max="11" width="20.88"/>
    <col customWidth="1" min="12" max="12" width="21.38"/>
    <col customWidth="1" min="15" max="15" width="25.0"/>
    <col customWidth="1" min="16" max="16" width="11.38"/>
    <col customWidth="1" min="17" max="17" width="12.13"/>
    <col customWidth="1" min="20" max="20" width="25.0"/>
  </cols>
  <sheetData>
    <row r="4"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>
      <c r="B5" s="2" t="s">
        <v>0</v>
      </c>
      <c r="C5" s="2" t="s">
        <v>1</v>
      </c>
      <c r="D5" s="2" t="s">
        <v>2</v>
      </c>
      <c r="E5" s="2" t="s">
        <v>3</v>
      </c>
      <c r="F5" s="2" t="s">
        <v>4</v>
      </c>
      <c r="G5" s="2" t="s">
        <v>5</v>
      </c>
      <c r="H5" s="2" t="s">
        <v>6</v>
      </c>
      <c r="I5" s="2" t="s">
        <v>7</v>
      </c>
      <c r="J5" s="2" t="s">
        <v>8</v>
      </c>
      <c r="K5" s="2" t="s">
        <v>9</v>
      </c>
      <c r="L5" s="3" t="s">
        <v>10</v>
      </c>
      <c r="O5" s="4"/>
      <c r="P5" s="5"/>
      <c r="Q5" s="5"/>
      <c r="R5" s="5"/>
      <c r="U5" s="5"/>
      <c r="V5" s="5"/>
      <c r="W5" s="5"/>
    </row>
    <row r="6">
      <c r="B6" s="6" t="s">
        <v>11</v>
      </c>
      <c r="C6" s="7">
        <v>22.8</v>
      </c>
      <c r="D6" s="7">
        <v>21.0</v>
      </c>
      <c r="E6" s="7">
        <v>20.4</v>
      </c>
      <c r="F6" s="8" t="s">
        <v>12</v>
      </c>
      <c r="G6" s="7">
        <v>3.0</v>
      </c>
      <c r="H6" s="7">
        <v>22.5</v>
      </c>
      <c r="I6" s="9">
        <f t="shared" ref="I6:I9" si="1">ABS(C6-H6)</f>
        <v>0.3</v>
      </c>
      <c r="J6" s="7">
        <v>1.0</v>
      </c>
      <c r="K6" s="9">
        <f t="shared" ref="K6:K9" si="2">G6*I6*J6</f>
        <v>0.9</v>
      </c>
      <c r="L6" s="10">
        <v>46109.645833333336</v>
      </c>
      <c r="O6" s="11" t="s">
        <v>13</v>
      </c>
      <c r="P6" s="11" t="s">
        <v>14</v>
      </c>
      <c r="Q6" s="11" t="s">
        <v>15</v>
      </c>
      <c r="R6" s="11" t="s">
        <v>16</v>
      </c>
      <c r="T6" s="12" t="s">
        <v>17</v>
      </c>
      <c r="U6" s="12" t="s">
        <v>14</v>
      </c>
      <c r="V6" s="12" t="s">
        <v>15</v>
      </c>
      <c r="W6" s="12" t="s">
        <v>16</v>
      </c>
    </row>
    <row r="7">
      <c r="B7" s="6" t="s">
        <v>18</v>
      </c>
      <c r="C7" s="7">
        <v>16.8</v>
      </c>
      <c r="D7" s="7">
        <v>18.7</v>
      </c>
      <c r="E7" s="7">
        <v>15.4</v>
      </c>
      <c r="F7" s="8" t="s">
        <v>19</v>
      </c>
      <c r="G7" s="7">
        <v>5.7</v>
      </c>
      <c r="H7" s="7">
        <v>22.5</v>
      </c>
      <c r="I7" s="9">
        <f t="shared" si="1"/>
        <v>5.7</v>
      </c>
      <c r="J7" s="7">
        <v>1.0</v>
      </c>
      <c r="K7" s="9">
        <f t="shared" si="2"/>
        <v>32.49</v>
      </c>
      <c r="L7" s="10">
        <v>46110.65833333333</v>
      </c>
      <c r="O7" s="3" t="s">
        <v>1</v>
      </c>
      <c r="P7" s="13">
        <v>17.2</v>
      </c>
      <c r="Q7" s="13">
        <v>16.8</v>
      </c>
      <c r="R7" s="13">
        <v>17.9</v>
      </c>
      <c r="T7" s="3" t="s">
        <v>1</v>
      </c>
      <c r="U7" s="13">
        <v>20.8</v>
      </c>
      <c r="V7" s="13">
        <v>19.7</v>
      </c>
      <c r="W7" s="13">
        <v>19.8</v>
      </c>
    </row>
    <row r="8">
      <c r="B8" s="6" t="s">
        <v>20</v>
      </c>
      <c r="C8" s="7">
        <v>16.4</v>
      </c>
      <c r="D8" s="7">
        <v>22.6</v>
      </c>
      <c r="E8" s="7">
        <v>12.8</v>
      </c>
      <c r="F8" s="8" t="s">
        <v>21</v>
      </c>
      <c r="G8" s="7">
        <v>2.8</v>
      </c>
      <c r="H8" s="7">
        <v>22.5</v>
      </c>
      <c r="I8" s="9">
        <f t="shared" si="1"/>
        <v>6.1</v>
      </c>
      <c r="J8" s="7">
        <v>1.0</v>
      </c>
      <c r="K8" s="9">
        <f t="shared" si="2"/>
        <v>17.08</v>
      </c>
      <c r="L8" s="10">
        <v>46111.64791666667</v>
      </c>
      <c r="O8" s="3" t="s">
        <v>2</v>
      </c>
      <c r="P8" s="13">
        <v>19.2</v>
      </c>
      <c r="Q8" s="13">
        <v>18.7</v>
      </c>
      <c r="R8" s="13">
        <v>27.1</v>
      </c>
      <c r="T8" s="3" t="s">
        <v>2</v>
      </c>
      <c r="U8" s="13">
        <v>21.0</v>
      </c>
      <c r="V8" s="13">
        <v>20.0</v>
      </c>
      <c r="W8" s="13">
        <v>21.0</v>
      </c>
    </row>
    <row r="9">
      <c r="B9" s="6" t="s">
        <v>22</v>
      </c>
      <c r="C9" s="7">
        <v>10.9</v>
      </c>
      <c r="D9" s="7">
        <v>18.3</v>
      </c>
      <c r="E9" s="7">
        <v>7.8</v>
      </c>
      <c r="F9" s="8" t="s">
        <v>23</v>
      </c>
      <c r="G9" s="7">
        <v>5.7</v>
      </c>
      <c r="H9" s="7">
        <v>22.5</v>
      </c>
      <c r="I9" s="9">
        <f t="shared" si="1"/>
        <v>11.6</v>
      </c>
      <c r="J9" s="7">
        <v>1.0</v>
      </c>
      <c r="K9" s="9">
        <f t="shared" si="2"/>
        <v>66.12</v>
      </c>
      <c r="L9" s="10">
        <v>46112.649305555555</v>
      </c>
      <c r="O9" s="3" t="s">
        <v>3</v>
      </c>
      <c r="P9" s="13">
        <v>16.2</v>
      </c>
      <c r="Q9" s="13">
        <v>15.4</v>
      </c>
      <c r="R9" s="13">
        <v>16.5</v>
      </c>
      <c r="T9" s="3" t="s">
        <v>3</v>
      </c>
      <c r="U9" s="13">
        <v>20.4</v>
      </c>
      <c r="V9" s="13">
        <v>19.2</v>
      </c>
      <c r="W9" s="13">
        <v>19.2</v>
      </c>
    </row>
    <row r="10">
      <c r="B10" s="14" t="s">
        <v>24</v>
      </c>
      <c r="O10" s="2" t="s">
        <v>5</v>
      </c>
      <c r="P10" s="13">
        <v>5.7</v>
      </c>
      <c r="Q10" s="13">
        <v>5.7</v>
      </c>
      <c r="R10" s="13">
        <v>5.7</v>
      </c>
      <c r="T10" s="2" t="s">
        <v>5</v>
      </c>
      <c r="U10" s="13">
        <v>2.0</v>
      </c>
      <c r="V10" s="13">
        <v>2.0</v>
      </c>
      <c r="W10" s="13">
        <v>2.0</v>
      </c>
    </row>
    <row r="11">
      <c r="B11" s="15" t="s">
        <v>25</v>
      </c>
      <c r="C11" s="16"/>
      <c r="J11" s="17"/>
      <c r="O11" s="2" t="s">
        <v>26</v>
      </c>
      <c r="P11" s="13">
        <v>22.5</v>
      </c>
      <c r="Q11" s="13">
        <v>22.5</v>
      </c>
      <c r="R11" s="13">
        <v>22.5</v>
      </c>
      <c r="T11" s="2" t="s">
        <v>26</v>
      </c>
      <c r="U11" s="13">
        <v>22.5</v>
      </c>
      <c r="V11" s="13">
        <v>22.5</v>
      </c>
      <c r="W11" s="13">
        <v>22.5</v>
      </c>
    </row>
    <row r="12">
      <c r="B12" s="18" t="s">
        <v>27</v>
      </c>
      <c r="C12" s="18">
        <f>AVERAGE(K6:K9)</f>
        <v>29.1475</v>
      </c>
      <c r="O12" s="2" t="s">
        <v>7</v>
      </c>
      <c r="P12" s="19">
        <f t="shared" ref="P12:R12" si="3">ABS(P11-P7)</f>
        <v>5.3</v>
      </c>
      <c r="Q12" s="19">
        <f t="shared" si="3"/>
        <v>5.7</v>
      </c>
      <c r="R12" s="19">
        <f t="shared" si="3"/>
        <v>4.6</v>
      </c>
      <c r="T12" s="2" t="s">
        <v>7</v>
      </c>
      <c r="U12" s="19">
        <f t="shared" ref="U12:W12" si="4">ABS(U11-U7)</f>
        <v>1.7</v>
      </c>
      <c r="V12" s="19">
        <f t="shared" si="4"/>
        <v>2.8</v>
      </c>
      <c r="W12" s="19">
        <f t="shared" si="4"/>
        <v>2.7</v>
      </c>
    </row>
    <row r="13">
      <c r="B13" s="18" t="s">
        <v>28</v>
      </c>
      <c r="C13" s="20">
        <f>STDEV(K6:K9)</f>
        <v>27.81896161</v>
      </c>
      <c r="O13" s="2" t="s">
        <v>8</v>
      </c>
      <c r="P13" s="13">
        <v>1.0</v>
      </c>
      <c r="Q13" s="13">
        <v>1.0</v>
      </c>
      <c r="R13" s="13">
        <v>1.0</v>
      </c>
      <c r="T13" s="2" t="s">
        <v>8</v>
      </c>
      <c r="U13" s="13">
        <v>1.0</v>
      </c>
      <c r="V13" s="13">
        <v>1.0</v>
      </c>
      <c r="W13" s="13">
        <v>1.0</v>
      </c>
    </row>
    <row r="14">
      <c r="B14" s="18" t="s">
        <v>29</v>
      </c>
      <c r="C14" s="20">
        <f>C12+0.5*C13</f>
        <v>43.0569808</v>
      </c>
      <c r="O14" s="2" t="s">
        <v>9</v>
      </c>
      <c r="P14" s="19">
        <f t="shared" ref="P14:R14" si="5">P13*P12*P10</f>
        <v>30.21</v>
      </c>
      <c r="Q14" s="19">
        <f t="shared" si="5"/>
        <v>32.49</v>
      </c>
      <c r="R14" s="19">
        <f t="shared" si="5"/>
        <v>26.22</v>
      </c>
      <c r="T14" s="2" t="s">
        <v>9</v>
      </c>
      <c r="U14" s="19">
        <f t="shared" ref="U14:W14" si="6">U13*U12*U10</f>
        <v>3.4</v>
      </c>
      <c r="V14" s="19">
        <f t="shared" si="6"/>
        <v>5.6</v>
      </c>
      <c r="W14" s="19">
        <f t="shared" si="6"/>
        <v>5.4</v>
      </c>
    </row>
    <row r="15">
      <c r="B15" s="18" t="s">
        <v>30</v>
      </c>
      <c r="C15" s="20">
        <f>C12-0.5*C13</f>
        <v>15.2380192</v>
      </c>
    </row>
    <row r="16">
      <c r="B16" s="18" t="s">
        <v>31</v>
      </c>
      <c r="C16" s="21" t="s">
        <v>32</v>
      </c>
    </row>
    <row r="18">
      <c r="B18" s="22" t="s">
        <v>33</v>
      </c>
    </row>
    <row r="19">
      <c r="B19" s="23" t="s">
        <v>34</v>
      </c>
      <c r="F19" s="24"/>
      <c r="G19" s="17"/>
    </row>
    <row r="20">
      <c r="B20" s="23" t="s">
        <v>35</v>
      </c>
      <c r="F20" s="24"/>
    </row>
    <row r="22">
      <c r="B22" s="25" t="s">
        <v>36</v>
      </c>
    </row>
    <row r="23">
      <c r="B23" s="25" t="s">
        <v>37</v>
      </c>
    </row>
    <row r="24">
      <c r="B24" s="25" t="s">
        <v>38</v>
      </c>
    </row>
    <row r="31">
      <c r="B31" s="2" t="s">
        <v>0</v>
      </c>
      <c r="C31" s="2" t="s">
        <v>1</v>
      </c>
      <c r="D31" s="2" t="s">
        <v>2</v>
      </c>
      <c r="E31" s="2" t="s">
        <v>3</v>
      </c>
      <c r="F31" s="2" t="s">
        <v>4</v>
      </c>
      <c r="G31" s="2" t="s">
        <v>5</v>
      </c>
      <c r="H31" s="2" t="s">
        <v>7</v>
      </c>
      <c r="I31" s="2" t="s">
        <v>9</v>
      </c>
      <c r="J31" s="3" t="s">
        <v>10</v>
      </c>
      <c r="K31" s="2"/>
      <c r="L31" s="3"/>
    </row>
    <row r="32">
      <c r="B32" s="6" t="s">
        <v>11</v>
      </c>
      <c r="C32" s="7">
        <v>22.8</v>
      </c>
      <c r="D32" s="7">
        <v>21.0</v>
      </c>
      <c r="E32" s="7">
        <v>20.4</v>
      </c>
      <c r="F32" s="8" t="s">
        <v>39</v>
      </c>
      <c r="G32" s="7">
        <v>2.0</v>
      </c>
      <c r="H32" s="7">
        <v>0.3</v>
      </c>
      <c r="I32" s="7">
        <v>0.6</v>
      </c>
      <c r="J32" s="10">
        <v>46109.645833333336</v>
      </c>
      <c r="K32" s="9"/>
      <c r="L32" s="10"/>
    </row>
    <row r="33">
      <c r="B33" s="6" t="s">
        <v>18</v>
      </c>
      <c r="C33" s="7">
        <v>16.8</v>
      </c>
      <c r="D33" s="7">
        <v>18.7</v>
      </c>
      <c r="E33" s="7">
        <v>15.4</v>
      </c>
      <c r="F33" s="8" t="s">
        <v>40</v>
      </c>
      <c r="G33" s="7">
        <v>5.7</v>
      </c>
      <c r="H33" s="7">
        <v>5.7</v>
      </c>
      <c r="I33" s="7">
        <v>32.5</v>
      </c>
      <c r="J33" s="10">
        <v>46110.65833333333</v>
      </c>
      <c r="K33" s="9"/>
      <c r="L33" s="10"/>
    </row>
    <row r="34">
      <c r="B34" s="6" t="s">
        <v>20</v>
      </c>
      <c r="C34" s="7">
        <v>16.4</v>
      </c>
      <c r="D34" s="7">
        <v>22.6</v>
      </c>
      <c r="E34" s="7">
        <v>12.8</v>
      </c>
      <c r="F34" s="8" t="s">
        <v>40</v>
      </c>
      <c r="G34" s="7">
        <v>2.8</v>
      </c>
      <c r="H34" s="7">
        <v>6.1</v>
      </c>
      <c r="I34" s="7">
        <v>17.1</v>
      </c>
      <c r="J34" s="10">
        <v>46111.64791666667</v>
      </c>
      <c r="K34" s="9"/>
      <c r="L34" s="10"/>
    </row>
    <row r="35">
      <c r="B35" s="6" t="s">
        <v>22</v>
      </c>
      <c r="C35" s="7">
        <v>10.9</v>
      </c>
      <c r="D35" s="7">
        <v>18.3</v>
      </c>
      <c r="E35" s="7">
        <v>7.8</v>
      </c>
      <c r="F35" s="8" t="s">
        <v>23</v>
      </c>
      <c r="G35" s="7">
        <v>5.7</v>
      </c>
      <c r="H35" s="7">
        <v>11.6</v>
      </c>
      <c r="I35" s="7">
        <v>66.1</v>
      </c>
      <c r="J35" s="10">
        <v>46112.649305555555</v>
      </c>
      <c r="K35" s="9"/>
      <c r="L35" s="10"/>
    </row>
    <row r="46">
      <c r="O46" s="26" t="s">
        <v>41</v>
      </c>
      <c r="P46" s="26" t="s">
        <v>42</v>
      </c>
      <c r="Q46" s="26" t="s">
        <v>43</v>
      </c>
    </row>
    <row r="47">
      <c r="O47" s="27" t="s">
        <v>44</v>
      </c>
      <c r="P47" s="28" t="s">
        <v>45</v>
      </c>
      <c r="Q47" s="29">
        <v>5.7</v>
      </c>
    </row>
    <row r="48">
      <c r="O48" s="30"/>
      <c r="P48" s="28" t="s">
        <v>46</v>
      </c>
      <c r="Q48" s="29">
        <v>4.8</v>
      </c>
    </row>
    <row r="49">
      <c r="O49" s="30"/>
      <c r="P49" s="28" t="s">
        <v>47</v>
      </c>
      <c r="Q49" s="29">
        <v>4.8</v>
      </c>
    </row>
    <row r="50">
      <c r="O50" s="31"/>
      <c r="P50" s="28" t="s">
        <v>48</v>
      </c>
      <c r="Q50" s="29">
        <v>5.7</v>
      </c>
    </row>
    <row r="51">
      <c r="O51" s="27" t="s">
        <v>49</v>
      </c>
      <c r="P51" s="28" t="s">
        <v>50</v>
      </c>
      <c r="Q51" s="29">
        <v>3.0</v>
      </c>
    </row>
    <row r="52">
      <c r="O52" s="30"/>
      <c r="P52" s="28" t="s">
        <v>51</v>
      </c>
      <c r="Q52" s="29">
        <v>5.7</v>
      </c>
    </row>
    <row r="53">
      <c r="O53" s="31"/>
      <c r="P53" s="28" t="s">
        <v>52</v>
      </c>
      <c r="Q53" s="29">
        <v>5.7</v>
      </c>
    </row>
    <row r="54">
      <c r="O54" s="27" t="s">
        <v>53</v>
      </c>
      <c r="P54" s="28" t="s">
        <v>54</v>
      </c>
      <c r="Q54" s="29">
        <v>2.1</v>
      </c>
    </row>
    <row r="55">
      <c r="O55" s="30"/>
      <c r="P55" s="28" t="s">
        <v>55</v>
      </c>
      <c r="Q55" s="29">
        <v>2.25</v>
      </c>
    </row>
    <row r="56">
      <c r="O56" s="30"/>
      <c r="P56" s="28" t="s">
        <v>56</v>
      </c>
      <c r="Q56" s="29">
        <v>3.0</v>
      </c>
    </row>
    <row r="57">
      <c r="O57" s="30"/>
      <c r="P57" s="28" t="s">
        <v>57</v>
      </c>
      <c r="Q57" s="29">
        <v>1.3</v>
      </c>
    </row>
    <row r="58">
      <c r="O58" s="30"/>
      <c r="P58" s="28" t="s">
        <v>58</v>
      </c>
      <c r="Q58" s="29">
        <v>0.18</v>
      </c>
    </row>
    <row r="59">
      <c r="O59" s="31"/>
      <c r="P59" s="28" t="s">
        <v>59</v>
      </c>
      <c r="Q59" s="29">
        <v>0.13</v>
      </c>
    </row>
  </sheetData>
  <mergeCells count="7">
    <mergeCell ref="B11:C11"/>
    <mergeCell ref="B18:F18"/>
    <mergeCell ref="B19:E19"/>
    <mergeCell ref="B20:E20"/>
    <mergeCell ref="O47:O50"/>
    <mergeCell ref="O51:O53"/>
    <mergeCell ref="O54:O59"/>
  </mergeCell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</worksheet>
</file>